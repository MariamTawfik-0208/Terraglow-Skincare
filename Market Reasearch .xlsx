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8_{ABD66EBE-EA84-9F43-AC39-48B3203CE332}" xr6:coauthVersionLast="47" xr6:coauthVersionMax="47" xr10:uidLastSave="{00000000-0000-0000-0000-000000000000}"/>
  <bookViews>
    <workbookView xWindow="0" yWindow="0" windowWidth="16384" windowHeight="8192" tabRatio="500" xr2:uid="{00000000-000D-0000-FFFF-FFFF00000000}"/>
  </bookViews>
  <sheets>
    <sheet name="Customer Analysis" sheetId="1" r:id="rId1"/>
    <sheet name="Competitor Analysis" sheetId="2" r:id="rId2"/>
    <sheet name="Stakeholder Analysis" sheetId="3" r:id="rId3"/>
    <sheet name="Requirements" sheetId="4" r:id="rId4"/>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9" i="4" l="1"/>
  <c r="D28" i="4"/>
  <c r="D27" i="4"/>
  <c r="D26" i="4"/>
  <c r="D25" i="4"/>
  <c r="D24" i="4"/>
  <c r="B25" i="3"/>
  <c r="G6" i="3"/>
  <c r="G7" i="3"/>
  <c r="G8" i="3"/>
  <c r="G9" i="3"/>
  <c r="G18" i="3"/>
  <c r="G17" i="3"/>
  <c r="G16" i="3"/>
  <c r="G15" i="3"/>
  <c r="G14" i="3"/>
  <c r="G13" i="3"/>
  <c r="G12" i="3"/>
  <c r="G11" i="3"/>
  <c r="G10" i="3"/>
  <c r="B24" i="3"/>
  <c r="B23" i="3"/>
  <c r="B22" i="3"/>
  <c r="B21" i="3"/>
  <c r="D31" i="2"/>
  <c r="D30" i="2"/>
  <c r="D29" i="2"/>
  <c r="D28" i="2"/>
</calcChain>
</file>

<file path=xl/sharedStrings.xml><?xml version="1.0" encoding="utf-8"?>
<sst xmlns="http://schemas.openxmlformats.org/spreadsheetml/2006/main" count="418" uniqueCount="324">
  <si>
    <t>Terraglow - Customer Analysis</t>
  </si>
  <si>
    <t>Prepared by: Member 2 (Market Researcher) | Product: Terraglow, natural face skincare (cleansers, serums, face masks) | Market: Egypt | Status: assumption-based unless a source is stated in the Basis column</t>
  </si>
  <si>
    <t>1. Target segments (women 18-40, middle to upper-middle income)</t>
  </si>
  <si>
    <t>Dimension</t>
  </si>
  <si>
    <t>Segment A: University Students (18-24)</t>
  </si>
  <si>
    <t>Segment B: Working Women (25-40)</t>
  </si>
  <si>
    <t>Gender / location</t>
  </si>
  <si>
    <t>Female, urban Egypt</t>
  </si>
  <si>
    <t>Income level</t>
  </si>
  <si>
    <t>Middle (family-supported or limited budget)</t>
  </si>
  <si>
    <t>Middle to upper-middle (own income)</t>
  </si>
  <si>
    <t>Main skin concerns</t>
  </si>
  <si>
    <t>Acne, oily skin, sensitivity to harsh products</t>
  </si>
  <si>
    <t>Dullness, dryness, early signs of fatigue and aging</t>
  </si>
  <si>
    <t>Products most relevant</t>
  </si>
  <si>
    <t>Cleanser + face mask</t>
  </si>
  <si>
    <t>Serum + cleanser</t>
  </si>
  <si>
    <t>Budget per product (EGP)</t>
  </si>
  <si>
    <t>100 - 250</t>
  </si>
  <si>
    <t>200 - 450</t>
  </si>
  <si>
    <t>What convinces her to buy</t>
  </si>
  <si>
    <t>Affordable price, attractive packaging, friends' and creators' opinions</t>
  </si>
  <si>
    <t>Clear ingredients, visible results, brand trust</t>
  </si>
  <si>
    <t>Purchase journey</t>
  </si>
  <si>
    <t>Sees content on TikTok/Instagram, compares prices, orders online</t>
  </si>
  <si>
    <t>Searches and reads ingredients, compares with Nefertari and Eva, buys from website or pharmacy</t>
  </si>
  <si>
    <t>Preferred channels</t>
  </si>
  <si>
    <t>TikTok, Instagram</t>
  </si>
  <si>
    <t>Instagram, Facebook, Google search</t>
  </si>
  <si>
    <t>Meaning of 'natural' to her</t>
  </si>
  <si>
    <t>'Safe, will not harm my skin'</t>
  </si>
  <si>
    <t>'Real ingredients, no harsh chemicals'</t>
  </si>
  <si>
    <t>Biggest barrier</t>
  </si>
  <si>
    <t>Fear of breakouts or allergic reaction</t>
  </si>
  <si>
    <t>Doubt that 'natural' is more than a marketing word</t>
  </si>
  <si>
    <t>2. Purchase drivers and barriers</t>
  </si>
  <si>
    <t>Type</t>
  </si>
  <si>
    <t>Factor</t>
  </si>
  <si>
    <t>Why it matters</t>
  </si>
  <si>
    <t>Terraglow marketing response</t>
  </si>
  <si>
    <t>Driver</t>
  </si>
  <si>
    <t>Natural, clearly listed ingredients</t>
  </si>
  <si>
    <t>Demand for natural, premium-quality products is growing among Egyptian women (Source: Egypt Today)</t>
  </si>
  <si>
    <t>Ingredient-first content, 'what is inside' posts, transparent product pages</t>
  </si>
  <si>
    <t>Affordable mid-range price</t>
  </si>
  <si>
    <t>Local competitors (Eva, Nefertari, Telofill) sit in a similar price band</t>
  </si>
  <si>
    <t>Position as accessible premium; bundles for students</t>
  </si>
  <si>
    <t>Social proof</t>
  </si>
  <si>
    <t>Young buyers rely on peers and creators (assumption)</t>
  </si>
  <si>
    <t>Micro-influencer collaborations, user reviews, UGC</t>
  </si>
  <si>
    <t>Packaging and brand look</t>
  </si>
  <si>
    <t>Strong visual identity helps in a crowded shelf (e.g. Telofill's purple packaging noted by ELLE Egypt)</t>
  </si>
  <si>
    <t>Distinct natural-glow visual identity, consistent on website and social</t>
  </si>
  <si>
    <t>Barrier</t>
  </si>
  <si>
    <t>Trust in a new brand</t>
  </si>
  <si>
    <t>Established names (Nefertari, founded 1998) have long track records</t>
  </si>
  <si>
    <t>Testimonials, ingredient transparency, trial-size or starter set</t>
  </si>
  <si>
    <t>Skin sensitivity worries</t>
  </si>
  <si>
    <t>Natural does not automatically mean safe for every skin type (assumption)</t>
  </si>
  <si>
    <t>Skin-type guide on the website, patch-test guidance, clear usage instructions</t>
  </si>
  <si>
    <t>Cannot try before buying (online sales)</t>
  </si>
  <si>
    <t>Website-only sales remove in-store testing</t>
  </si>
  <si>
    <t>Mini sizes, easy returns policy, quick WhatsApp/DM support</t>
  </si>
  <si>
    <t>Skepticism about the word 'natural'</t>
  </si>
  <si>
    <t>Term is widely used in marketing (assumption)</t>
  </si>
  <si>
    <t>Show formulation facts and avoid exaggerated claims</t>
  </si>
  <si>
    <t>Note: Segment details are assumptions built from competitor analysis, price points in the Egyptian market and the team's brief. They are to be validated later with field research. Only the cited item is source-based.</t>
  </si>
  <si>
    <t>Terraglow - Competitor Analysis (Top 3)</t>
  </si>
  <si>
    <t>Competitors selected by the team: Eva Cosmetics, Nefertari, Telofill | Data gathered from public web sources in October 2026. Prices come from retailer listings and may change. Items marked (assumption) are the researcher's analysis.</t>
  </si>
  <si>
    <t>1. Competitor comparison</t>
  </si>
  <si>
    <t>Criteria</t>
  </si>
  <si>
    <t>Eva Cosmetics</t>
  </si>
  <si>
    <t>Nefertari</t>
  </si>
  <si>
    <t>Telofill</t>
  </si>
  <si>
    <t>Market position</t>
  </si>
  <si>
    <t>One of the pioneers of locally made, affordable skincare in Egypt (ELLE Egypt)</t>
  </si>
  <si>
    <t>Natural skincare pioneer, founded in 1998 (Egyptian Streets)</t>
  </si>
  <si>
    <t>Local brand with a full range of skincare, recognised for its feminine purple packaging (ELLE Egypt)</t>
  </si>
  <si>
    <t>Main products</t>
  </si>
  <si>
    <t>Serums (vitamin C, niacinamide, hyaluronic), creams, micellar water, facial care</t>
  </si>
  <si>
    <t>Natural soaps, oils, creams, hyaluronic acid serum, body care</t>
  </si>
  <si>
    <t>Mostly body care: body wash, lotion, body mist; also a face cleanser and nail serum</t>
  </si>
  <si>
    <t>Face-care depth</t>
  </si>
  <si>
    <t>Deep: wide serum and cream range</t>
  </si>
  <si>
    <t>Medium: some face products, stronger in body care</t>
  </si>
  <si>
    <t>Light: limited face range compared with body range</t>
  </si>
  <si>
    <t>Natural positioning</t>
  </si>
  <si>
    <t>Not marketed mainly as natural (assumption)</t>
  </si>
  <si>
    <t>Core promise: 100% natural, chemical-free</t>
  </si>
  <si>
    <t>Price level (EGP)</t>
  </si>
  <si>
    <t>Face serum 30 ml about 200-215 (see section 2)</t>
  </si>
  <si>
    <t>Hyaluronic serum about 245 (see section 2)</t>
  </si>
  <si>
    <t>Body wash 500 ml about 210; lotion about 290; body mist about 280</t>
  </si>
  <si>
    <t>Target audience</t>
  </si>
  <si>
    <t>Mass market, wide age range (assumption)</t>
  </si>
  <si>
    <t>Natural-minded consumers looking for body and skin care</t>
  </si>
  <si>
    <t>Young women attracted by scents and packaging (assumption)</t>
  </si>
  <si>
    <t>Distribution</t>
  </si>
  <si>
    <t>Supermarkets (Carrefour), pharmacies</t>
  </si>
  <si>
    <t>Dozens of branded stores across Egypt, own website, Amazon Egypt</t>
  </si>
  <si>
    <t>Pharmacies and online pharmacy platforms</t>
  </si>
  <si>
    <t>Strengths</t>
  </si>
  <si>
    <t>High brand awareness, wide availability, accessible prices</t>
  </si>
  <si>
    <t>Strong natural credibility, long history, own stores and online ordering</t>
  </si>
  <si>
    <t>Strong visual identity and scent-led range, appeals to young women</t>
  </si>
  <si>
    <t>Weaknesses (assumption)</t>
  </si>
  <si>
    <t>Active-ingredient focus, natural angle is not the main message</t>
  </si>
  <si>
    <t>Face range is narrower, body care takes most attention</t>
  </si>
  <si>
    <t>Weak face-care offer and no natural claim</t>
  </si>
  <si>
    <t>Threat level to Terraglow (assumption)</t>
  </si>
  <si>
    <t>Medium: strong in face serums and price</t>
  </si>
  <si>
    <t>High: owns the 'natural' space</t>
  </si>
  <si>
    <t>Low to medium: overlaps on audience, not on category</t>
  </si>
  <si>
    <t>2. Price points observed</t>
  </si>
  <si>
    <t>Brand / Product</t>
  </si>
  <si>
    <t>Category</t>
  </si>
  <si>
    <t>Size</t>
  </si>
  <si>
    <t>Price (EGP)</t>
  </si>
  <si>
    <t>Channel and source</t>
  </si>
  <si>
    <t>Eva Skin Clinic Vitamin C Facial Serum</t>
  </si>
  <si>
    <t>Face serum</t>
  </si>
  <si>
    <t>30 ml</t>
  </si>
  <si>
    <t>Carrefour Egypt</t>
  </si>
  <si>
    <t>Eva Skin Clinic Niacinamide Facial Serum</t>
  </si>
  <si>
    <t>Eva Skin Clinic Hyaluronic Serum</t>
  </si>
  <si>
    <t>Nefertari Hyaluronic Acid Serum</t>
  </si>
  <si>
    <t>Not stated</t>
  </si>
  <si>
    <t>Amazon Egypt (via Pricena listing)</t>
  </si>
  <si>
    <t>Eva Facial Care Exfoliating Honey</t>
  </si>
  <si>
    <t>Face cleanser / exfoliant</t>
  </si>
  <si>
    <t>150 ml</t>
  </si>
  <si>
    <t>Online pharmacy listing</t>
  </si>
  <si>
    <t>Telofill Candy Lush Body Wash</t>
  </si>
  <si>
    <t>Body care</t>
  </si>
  <si>
    <t>500 ml</t>
  </si>
  <si>
    <t>Chefaa / Bloom Pharmacy</t>
  </si>
  <si>
    <t>Telofill Candy Lush Body Lotion</t>
  </si>
  <si>
    <t>250 g</t>
  </si>
  <si>
    <t>Bloom Pharmacy</t>
  </si>
  <si>
    <t>Telofill Golden Affair Body Mist</t>
  </si>
  <si>
    <t>236 ml</t>
  </si>
  <si>
    <t>Average face serum price (EGP)</t>
  </si>
  <si>
    <t>Lowest face serum price (EGP)</t>
  </si>
  <si>
    <t>Highest face serum price (EGP)</t>
  </si>
  <si>
    <t>Number of face serums compared</t>
  </si>
  <si>
    <t>Prices are as listed by retailers at the time of research and are blue because they are typed inputs; the statistics are formulas. Serums are compared only with serums. Terraglow's final price is to be set with the Data Analyst (budget) and is not defined here.</t>
  </si>
  <si>
    <t>3. Opportunities and threats for Terraglow (input for the Team Leader's SWOT)</t>
  </si>
  <si>
    <t>Insight</t>
  </si>
  <si>
    <t>Evidence / reasoning</t>
  </si>
  <si>
    <t>Use in SWOT</t>
  </si>
  <si>
    <t>Opportunity</t>
  </si>
  <si>
    <t>Natural face-care routine (cleanser + serum + mask) with a clear brand identity is under-served</t>
  </si>
  <si>
    <t>Eva leads in active-ingredient serums, Nefertari leans to body care, Telofill leans to body care (assumption)</t>
  </si>
  <si>
    <t>Digital-first experience (website, social content, creators)</t>
  </si>
  <si>
    <t>Competitors rely heavily on shelves and pharmacies (distribution above)</t>
  </si>
  <si>
    <t>Opportunity / Strength</t>
  </si>
  <si>
    <t>Ingredient transparency can answer the trust gap around 'natural'</t>
  </si>
  <si>
    <t>Demand for natural premium ingredients is rising among Egyptian women (Egypt Today)</t>
  </si>
  <si>
    <t>Threat</t>
  </si>
  <si>
    <t>Nefertari already owns the natural positioning with 25+ years of history</t>
  </si>
  <si>
    <t>Founded in 1998 with stores across Egypt (Egyptian Streets, Local's Guide to Egypt)</t>
  </si>
  <si>
    <t>Eva's price and reach in face serums</t>
  </si>
  <si>
    <t>Serums around 200-215 EGP in supermarkets, high awareness</t>
  </si>
  <si>
    <t>Many small natural brands entering the market</t>
  </si>
  <si>
    <t>Local lists show many natural and organic Egyptian brands (Cairo 360, Enterprise)</t>
  </si>
  <si>
    <t>Terraglow - Stakeholder Analysis</t>
  </si>
  <si>
    <t>Influence and Interest use a dropdown (High / Medium / Low). The Strategy column is calculated automatically from them. Stakeholders are proposed by Member 2 and should be confirmed with the team.</t>
  </si>
  <si>
    <t>Stakeholder register</t>
  </si>
  <si>
    <t>Stakeholder</t>
  </si>
  <si>
    <t>Role in the project</t>
  </si>
  <si>
    <t>What they need / expect</t>
  </si>
  <si>
    <t>Influence</t>
  </si>
  <si>
    <t>Interest</t>
  </si>
  <si>
    <t>Strategy (auto)</t>
  </si>
  <si>
    <t>Target customers (students, working women)</t>
  </si>
  <si>
    <t>External</t>
  </si>
  <si>
    <t>Buy and recommend the products</t>
  </si>
  <si>
    <t>Safe, effective natural products at a fair price; honest information</t>
  </si>
  <si>
    <t>High</t>
  </si>
  <si>
    <t>Terraglow founders / brand owners (team)</t>
  </si>
  <si>
    <t>Internal</t>
  </si>
  <si>
    <t>Own the brand and approve strategy and budget</t>
  </si>
  <si>
    <t>Clear plan, controlled budget, measurable results</t>
  </si>
  <si>
    <t>Team Leader</t>
  </si>
  <si>
    <t>Coordinates deliverables, SWOT, objectives, GitHub</t>
  </si>
  <si>
    <t>Complete and on-time inputs from every member</t>
  </si>
  <si>
    <t>DEPI trainer / evaluators</t>
  </si>
  <si>
    <t>Assess the capstone</t>
  </si>
  <si>
    <t>Correct SOSTAC structure, documentation, presentation</t>
  </si>
  <si>
    <t>Creative Strategist and Data Analyst (team)</t>
  </si>
  <si>
    <t>Build content, run accounts, report performance</t>
  </si>
  <si>
    <t>Research outputs (segments, persona, USP) to work from</t>
  </si>
  <si>
    <t>Medium</t>
  </si>
  <si>
    <t>Micro-influencers / beauty creators</t>
  </si>
  <si>
    <t>Promote the brand and build trust</t>
  </si>
  <si>
    <t>Fair collaboration terms, quality products, creative freedom</t>
  </si>
  <si>
    <t>Ingredient and packaging suppliers</t>
  </si>
  <si>
    <t>Provide natural ingredients and packaging</t>
  </si>
  <si>
    <t>Clear specifications, steady orders, timely payment</t>
  </si>
  <si>
    <t>Manufacturer / production partner</t>
  </si>
  <si>
    <t>Produce the formulas to standard</t>
  </si>
  <si>
    <t>Approved formulas, realistic quantities and deadlines</t>
  </si>
  <si>
    <t>Online platforms (Meta, TikTok, Google)</t>
  </si>
  <si>
    <t>Provide advertising and distribution channels</t>
  </si>
  <si>
    <t>Compliance with ad policies</t>
  </si>
  <si>
    <t>Low</t>
  </si>
  <si>
    <t>Website, payment and delivery providers</t>
  </si>
  <si>
    <t>Enable online ordering and shipping</t>
  </si>
  <si>
    <t>Accurate orders, payment security, reliable handoff</t>
  </si>
  <si>
    <t>Pharmacies / retail partners (future)</t>
  </si>
  <si>
    <t>Possible offline distribution</t>
  </si>
  <si>
    <t>Margins, brand demand, support</t>
  </si>
  <si>
    <t>Competitors (Eva, Nefertari, Telofill)</t>
  </si>
  <si>
    <t>Compete for the same customers</t>
  </si>
  <si>
    <t>Defend market share</t>
  </si>
  <si>
    <t>Regulatory authority for cosmetics (e.g. Egyptian Drug Authority)</t>
  </si>
  <si>
    <t>Set rules on cosmetic products and claims</t>
  </si>
  <si>
    <t>Registration and compliant claims (to be verified)</t>
  </si>
  <si>
    <t>Summary</t>
  </si>
  <si>
    <t>Stakeholders to manage closely</t>
  </si>
  <si>
    <t>Stakeholders to keep satisfied</t>
  </si>
  <si>
    <t>Stakeholders to keep informed</t>
  </si>
  <si>
    <t>Stakeholders to monitor</t>
  </si>
  <si>
    <t>Total stakeholders</t>
  </si>
  <si>
    <t>Influence and Interest ratings are the researcher's assumptions (blue = editable inputs). Change a rating and the Strategy updates automatically. Regulatory requirements must be verified before launch.</t>
  </si>
  <si>
    <t>Terraglow - Functional and Non-Functional Requirements</t>
  </si>
  <si>
    <t>Requirements for the digital marketing campaign and its online presence. Priority follows MoSCoW (Must / Should / Could). Mapped to the Terraglow project plan roles. Proposed by Member 2 for team review.</t>
  </si>
  <si>
    <t>Requirements register</t>
  </si>
  <si>
    <t>ID</t>
  </si>
  <si>
    <t>Requirement</t>
  </si>
  <si>
    <t>Description</t>
  </si>
  <si>
    <t>Priority</t>
  </si>
  <si>
    <t>Main stakeholder</t>
  </si>
  <si>
    <t>Success measure</t>
  </si>
  <si>
    <t>FR-01</t>
  </si>
  <si>
    <t>Functional</t>
  </si>
  <si>
    <t>Brand website with product pages</t>
  </si>
  <si>
    <t>Pages for cleansers, serums and face masks with ingredients, usage and skin-type guidance</t>
  </si>
  <si>
    <t>Must</t>
  </si>
  <si>
    <t>Target customers</t>
  </si>
  <si>
    <t>All products live with ingredient lists</t>
  </si>
  <si>
    <t>FR-02</t>
  </si>
  <si>
    <t>Online ordering and payment</t>
  </si>
  <si>
    <t>Cart, checkout, delivery details and order confirmation</t>
  </si>
  <si>
    <t>Order can be completed in a few steps</t>
  </si>
  <si>
    <t>FR-03</t>
  </si>
  <si>
    <t>Business accounts on Instagram, Facebook and TikTok</t>
  </si>
  <si>
    <t>Set up and optimised profiles with consistent branding and bio links</t>
  </si>
  <si>
    <t>Platforms, customers</t>
  </si>
  <si>
    <t>Accounts live and linked to the website</t>
  </si>
  <si>
    <t>FR-04</t>
  </si>
  <si>
    <t>Content calendar and content production</t>
  </si>
  <si>
    <t>Planned posts, formats and headlines for each platform, created in Canva and AI tools</t>
  </si>
  <si>
    <t>Creative Strategist</t>
  </si>
  <si>
    <t>Calendar covers the full campaign period</t>
  </si>
  <si>
    <t>FR-05</t>
  </si>
  <si>
    <t>Customer support channel</t>
  </si>
  <si>
    <t>Answer questions and complaints through DMs, WhatsApp or email</t>
  </si>
  <si>
    <t>Should</t>
  </si>
  <si>
    <t>Fast replies within a defined time</t>
  </si>
  <si>
    <t>FR-06</t>
  </si>
  <si>
    <t>Influencer collaboration process</t>
  </si>
  <si>
    <t>Select, brief and track micro-influencers</t>
  </si>
  <si>
    <t>Influencers</t>
  </si>
  <si>
    <t>Collaboration list and brief ready</t>
  </si>
  <si>
    <t>FR-07</t>
  </si>
  <si>
    <t>Tracking and analytics setup</t>
  </si>
  <si>
    <t>Meta Business Suite and website analytics to measure reach, engagement and conversions</t>
  </si>
  <si>
    <t>Data Analyst</t>
  </si>
  <si>
    <t>Reports can be extracted for the KPIs</t>
  </si>
  <si>
    <t>FR-08</t>
  </si>
  <si>
    <t>Customer reviews and user content</t>
  </si>
  <si>
    <t>Collect and publish reviews and customer photos</t>
  </si>
  <si>
    <t>Could</t>
  </si>
  <si>
    <t>Reviews displayed on site and social</t>
  </si>
  <si>
    <t>NFR-01</t>
  </si>
  <si>
    <t>Non-functional</t>
  </si>
  <si>
    <t>Mobile-first experience</t>
  </si>
  <si>
    <t>Website and content work well on phones, where most target users browse</t>
  </si>
  <si>
    <t>Pages load and display correctly on mobile</t>
  </si>
  <si>
    <t>NFR-02</t>
  </si>
  <si>
    <t>Brand consistency</t>
  </si>
  <si>
    <t>Same visual identity, tone of voice and message on every channel</t>
  </si>
  <si>
    <t>Team, evaluators</t>
  </si>
  <si>
    <t>Style guide followed in all assets</t>
  </si>
  <si>
    <t>NFR-03</t>
  </si>
  <si>
    <t>Performance and availability</t>
  </si>
  <si>
    <t>Fast page loading and reliable site during campaign peaks</t>
  </si>
  <si>
    <t>Site stays online during the campaign</t>
  </si>
  <si>
    <t>NFR-04</t>
  </si>
  <si>
    <t>Payment and data security</t>
  </si>
  <si>
    <t>Secure payment and protection of customer data</t>
  </si>
  <si>
    <t>Customers, providers</t>
  </si>
  <si>
    <t>Secure payment method used</t>
  </si>
  <si>
    <t>NFR-05</t>
  </si>
  <si>
    <t>Content language and clarity</t>
  </si>
  <si>
    <t>Arabic (colloquial) and English content, simple and clear</t>
  </si>
  <si>
    <t>Content reviewed before posting</t>
  </si>
  <si>
    <t>NFR-06</t>
  </si>
  <si>
    <t>Honest and compliant claims</t>
  </si>
  <si>
    <t>No exaggerated health or result claims; follow platform ad policies and cosmetic regulations (to be verified)</t>
  </si>
  <si>
    <t>Regulator, platforms</t>
  </si>
  <si>
    <t>Claims reviewed before publishing</t>
  </si>
  <si>
    <t>NFR-07</t>
  </si>
  <si>
    <t>Budget control</t>
  </si>
  <si>
    <t>Spending stays within the budget set in the Action Plan</t>
  </si>
  <si>
    <t>Founders, Team Leader</t>
  </si>
  <si>
    <t>Actual spend within planned budget</t>
  </si>
  <si>
    <t>NFR-08</t>
  </si>
  <si>
    <t>Timeline</t>
  </si>
  <si>
    <t>Deliverables follow the project plan dates (final submission in early December)</t>
  </si>
  <si>
    <t>Team Leader, trainer</t>
  </si>
  <si>
    <t>Milestones met on schedule</t>
  </si>
  <si>
    <t>Functional requirements</t>
  </si>
  <si>
    <t>Non-functional requirements</t>
  </si>
  <si>
    <t>Must-have</t>
  </si>
  <si>
    <t>Should-have</t>
  </si>
  <si>
    <t>Could-have</t>
  </si>
  <si>
    <t>Total</t>
  </si>
  <si>
    <t>Requirements are proposals based on the project plan and the Terraglow brief. Priority is an editable dropdown. Dates and budget figures come from the Action Plan owned by the Data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</si>
</sst>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6"/>
      <color rgb="FF2F5D50"/>
      <name val="Arial"/>
      <charset val="1"/>
    </font>
    <font>
      <i/>
      <sz val="9"/>
      <color rgb="FF595959"/>
      <name val="Arial"/>
      <charset val="1"/>
    </font>
    <font>
      <b/>
      <sz val="11"/>
      <color rgb="FFFFFFFF"/>
      <name val="Arial"/>
      <charset val="1"/>
    </font>
    <font>
      <b/>
      <sz val="10"/>
      <color rgb="FFFFFFFF"/>
      <name val="Arial"/>
      <charset val="1"/>
    </font>
    <font>
      <b/>
      <sz val="10"/>
      <name val="Arial"/>
      <charset val="1"/>
    </font>
    <font>
      <sz val="10"/>
      <name val="Arial"/>
      <charset val="1"/>
    </font>
    <font>
      <sz val="10"/>
      <color rgb="FF000000"/>
      <name val="Arial"/>
      <charset val="1"/>
    </font>
    <font>
      <sz val="10"/>
      <color rgb="FF0000FF"/>
      <name val="Arial"/>
      <charset val="1"/>
    </font>
    <font>
      <b/>
      <sz val="10"/>
      <color rgb="FF000000"/>
      <name val="Arial"/>
      <charset val="1"/>
    </font>
  </fonts>
  <fills count="7">
    <fill>
      <patternFill patternType="none"/>
    </fill>
    <fill>
      <patternFill patternType="gray125"/>
    </fill>
    <fill>
      <patternFill patternType="solid">
        <fgColor rgb="FF4F8A74"/>
        <bgColor rgb="FF808080"/>
      </patternFill>
    </fill>
    <fill>
      <patternFill patternType="solid">
        <fgColor rgb="FF2F5D50"/>
        <bgColor rgb="FF595959"/>
      </patternFill>
    </fill>
    <fill>
      <patternFill patternType="solid">
        <fgColor rgb="FFE8F1EC"/>
        <bgColor rgb="FFF7F3EA"/>
      </patternFill>
    </fill>
    <fill>
      <patternFill patternType="solid">
        <fgColor rgb="FFF7F3EA"/>
        <bgColor rgb="FFE8F1EC"/>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5" fillId="4" borderId="1" xfId="0" applyFont="1" applyFill="1" applyBorder="1"/>
    <xf numFmtId="0" fontId="2" fillId="0" borderId="0" xfId="0" applyFont="1" applyBorder="1" applyAlignment="1">
      <alignment vertical="top" wrapText="1"/>
    </xf>
    <xf numFmtId="0" fontId="1" fillId="0" borderId="0" xfId="0" applyFont="1"/>
    <xf numFmtId="0" fontId="3" fillId="2" borderId="0" xfId="0" applyFont="1" applyFill="1"/>
    <xf numFmtId="0" fontId="0" fillId="2" borderId="0" xfId="0" applyFill="1"/>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6" fillId="0" borderId="1" xfId="0" applyFont="1" applyBorder="1" applyAlignment="1">
      <alignment vertical="top" wrapText="1"/>
    </xf>
    <xf numFmtId="0" fontId="6" fillId="5" borderId="1" xfId="0" applyFont="1" applyFill="1" applyBorder="1" applyAlignment="1">
      <alignment vertical="top" wrapText="1"/>
    </xf>
    <xf numFmtId="0" fontId="0" fillId="0" borderId="0" xfId="0" applyBorder="1"/>
    <xf numFmtId="0" fontId="4" fillId="0" borderId="0" xfId="0" applyFont="1" applyBorder="1" applyAlignment="1">
      <alignment horizontal="center" vertical="center" wrapText="1"/>
    </xf>
    <xf numFmtId="0" fontId="7" fillId="0" borderId="1" xfId="0" applyFont="1" applyBorder="1" applyAlignment="1">
      <alignment vertical="top" wrapText="1"/>
    </xf>
    <xf numFmtId="4" fontId="8" fillId="0" borderId="1" xfId="0" applyNumberFormat="1" applyFont="1" applyBorder="1" applyAlignment="1">
      <alignment vertical="top" wrapText="1"/>
    </xf>
    <xf numFmtId="0" fontId="5" fillId="4" borderId="1" xfId="0" applyFont="1" applyFill="1" applyBorder="1"/>
    <xf numFmtId="4" fontId="5" fillId="0" borderId="1" xfId="0" applyNumberFormat="1" applyFont="1" applyBorder="1"/>
    <xf numFmtId="1" fontId="5" fillId="0" borderId="1" xfId="0" applyNumberFormat="1" applyFont="1" applyBorder="1"/>
    <xf numFmtId="0" fontId="9" fillId="4" borderId="1" xfId="0" applyFont="1" applyFill="1" applyBorder="1" applyAlignment="1">
      <alignment horizontal="lef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8" fillId="0" borderId="1" xfId="0" applyFont="1" applyBorder="1" applyAlignment="1">
      <alignment horizontal="center"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8" fillId="5" borderId="1" xfId="0" applyFont="1" applyFill="1" applyBorder="1" applyAlignment="1">
      <alignment horizontal="center" vertical="top" wrapText="1"/>
    </xf>
    <xf numFmtId="0" fontId="5" fillId="0" borderId="1" xfId="0" applyFont="1" applyBorder="1" applyAlignment="1">
      <alignment horizontal="center"/>
    </xf>
    <xf numFmtId="0" fontId="5" fillId="4" borderId="1" xfId="0" applyFont="1" applyFill="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5" fillId="0" borderId="1" xfId="0" applyFont="1" applyBorder="1" applyAlignment="1">
      <alignment horizontal="left"/>
    </xf>
    <xf numFmtId="0" fontId="4" fillId="6" borderId="1" xfId="0" applyFont="1" applyFill="1" applyBorder="1" applyAlignment="1">
      <alignment horizontal="center" vertical="center" wrapText="1"/>
    </xf>
    <xf numFmtId="0" fontId="6" fillId="6" borderId="1" xfId="0" applyFont="1" applyFill="1" applyBorder="1" applyAlignment="1">
      <alignment vertical="top" wrapText="1"/>
    </xf>
    <xf numFmtId="0" fontId="0" fillId="6"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3EA"/>
      <rgbColor rgb="FFE8F1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4F8A74"/>
      <rgbColor rgb="FF003300"/>
      <rgbColor rgb="FF333300"/>
      <rgbColor rgb="FF993300"/>
      <rgbColor rgb="FF993366"/>
      <rgbColor rgb="FF333399"/>
      <rgbColor rgb="FF2F5D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8"/>
  <sheetViews>
    <sheetView showGridLines="0" tabSelected="1" zoomScaleNormal="100" workbookViewId="0">
      <pane ySplit="3" topLeftCell="A4" activePane="bottomLeft" state="frozen"/>
      <selection pane="bottomLeft" activeCell="C41" sqref="C41"/>
    </sheetView>
  </sheetViews>
  <sheetFormatPr defaultColWidth="8.7421875" defaultRowHeight="15" x14ac:dyDescent="0.2"/>
  <cols>
    <col min="1" max="1" width="25.9609375" customWidth="1"/>
    <col min="2" max="3" width="37.93359375" customWidth="1"/>
    <col min="4" max="4" width="43.98828125" customWidth="1"/>
  </cols>
  <sheetData>
    <row r="1" spans="1:4" ht="20.25" x14ac:dyDescent="0.25">
      <c r="A1" s="3" t="s">
        <v>0</v>
      </c>
    </row>
    <row r="2" spans="1:4" ht="27.75" customHeight="1" x14ac:dyDescent="0.2">
      <c r="A2" s="2" t="s">
        <v>1</v>
      </c>
      <c r="B2" s="2"/>
      <c r="C2" s="2"/>
      <c r="D2" s="2"/>
    </row>
    <row r="4" spans="1:4" ht="19.5" customHeight="1" x14ac:dyDescent="0.2">
      <c r="A4" s="4" t="s">
        <v>2</v>
      </c>
      <c r="B4" s="5"/>
      <c r="C4" s="5"/>
      <c r="D4" s="33"/>
    </row>
    <row r="5" spans="1:4" ht="27.75" customHeight="1" x14ac:dyDescent="0.2">
      <c r="A5" s="6" t="s">
        <v>3</v>
      </c>
      <c r="B5" s="6" t="s">
        <v>4</v>
      </c>
      <c r="C5" s="6" t="s">
        <v>5</v>
      </c>
      <c r="D5" s="31"/>
    </row>
    <row r="6" spans="1:4" ht="18" customHeight="1" x14ac:dyDescent="0.2">
      <c r="A6" s="7" t="s">
        <v>6</v>
      </c>
      <c r="B6" s="8" t="s">
        <v>7</v>
      </c>
      <c r="C6" s="8" t="s">
        <v>7</v>
      </c>
      <c r="D6" s="32"/>
    </row>
    <row r="7" spans="1:4" ht="30.75" customHeight="1" x14ac:dyDescent="0.2">
      <c r="A7" s="7" t="s">
        <v>8</v>
      </c>
      <c r="B7" s="9" t="s">
        <v>9</v>
      </c>
      <c r="C7" s="9" t="s">
        <v>10</v>
      </c>
      <c r="D7" s="32"/>
    </row>
    <row r="8" spans="1:4" ht="30.75" customHeight="1" x14ac:dyDescent="0.2">
      <c r="A8" s="7" t="s">
        <v>11</v>
      </c>
      <c r="B8" s="8" t="s">
        <v>12</v>
      </c>
      <c r="C8" s="8" t="s">
        <v>13</v>
      </c>
      <c r="D8" s="32"/>
    </row>
    <row r="9" spans="1:4" ht="18" customHeight="1" x14ac:dyDescent="0.2">
      <c r="A9" s="7" t="s">
        <v>14</v>
      </c>
      <c r="B9" s="9" t="s">
        <v>15</v>
      </c>
      <c r="C9" s="9" t="s">
        <v>16</v>
      </c>
      <c r="D9" s="32"/>
    </row>
    <row r="10" spans="1:4" ht="30.75" customHeight="1" x14ac:dyDescent="0.2">
      <c r="A10" s="7" t="s">
        <v>17</v>
      </c>
      <c r="B10" s="8" t="s">
        <v>18</v>
      </c>
      <c r="C10" s="8" t="s">
        <v>19</v>
      </c>
      <c r="D10" s="32"/>
    </row>
    <row r="11" spans="1:4" ht="30.75" customHeight="1" x14ac:dyDescent="0.2">
      <c r="A11" s="7" t="s">
        <v>20</v>
      </c>
      <c r="B11" s="9" t="s">
        <v>21</v>
      </c>
      <c r="C11" s="9" t="s">
        <v>22</v>
      </c>
      <c r="D11" s="32"/>
    </row>
    <row r="12" spans="1:4" ht="44.25" customHeight="1" x14ac:dyDescent="0.2">
      <c r="A12" s="7" t="s">
        <v>23</v>
      </c>
      <c r="B12" s="8" t="s">
        <v>24</v>
      </c>
      <c r="C12" s="8" t="s">
        <v>25</v>
      </c>
      <c r="D12" s="32"/>
    </row>
    <row r="13" spans="1:4" ht="18" customHeight="1" x14ac:dyDescent="0.2">
      <c r="A13" s="7" t="s">
        <v>26</v>
      </c>
      <c r="B13" s="9" t="s">
        <v>27</v>
      </c>
      <c r="C13" s="9" t="s">
        <v>28</v>
      </c>
      <c r="D13" s="32"/>
    </row>
    <row r="14" spans="1:4" ht="18" customHeight="1" x14ac:dyDescent="0.2">
      <c r="A14" s="7" t="s">
        <v>29</v>
      </c>
      <c r="B14" s="8" t="s">
        <v>30</v>
      </c>
      <c r="C14" s="8" t="s">
        <v>31</v>
      </c>
      <c r="D14" s="32"/>
    </row>
    <row r="15" spans="1:4" ht="30.75" customHeight="1" x14ac:dyDescent="0.2">
      <c r="A15" s="7" t="s">
        <v>32</v>
      </c>
      <c r="B15" s="9" t="s">
        <v>33</v>
      </c>
      <c r="C15" s="9" t="s">
        <v>34</v>
      </c>
      <c r="D15" s="32"/>
    </row>
    <row r="17" spans="1:4" ht="19.5" customHeight="1" x14ac:dyDescent="0.2">
      <c r="A17" s="4" t="s">
        <v>35</v>
      </c>
      <c r="B17" s="5"/>
      <c r="C17" s="5"/>
      <c r="D17" s="5"/>
    </row>
    <row r="18" spans="1:4" ht="27.75" customHeight="1" x14ac:dyDescent="0.2">
      <c r="A18" s="6" t="s">
        <v>36</v>
      </c>
      <c r="B18" s="6" t="s">
        <v>37</v>
      </c>
      <c r="C18" s="6" t="s">
        <v>38</v>
      </c>
      <c r="D18" s="6" t="s">
        <v>39</v>
      </c>
    </row>
    <row r="19" spans="1:4" ht="44.25" customHeight="1" x14ac:dyDescent="0.2">
      <c r="A19" s="7" t="s">
        <v>40</v>
      </c>
      <c r="B19" s="8" t="s">
        <v>41</v>
      </c>
      <c r="C19" s="8" t="s">
        <v>42</v>
      </c>
      <c r="D19" s="8" t="s">
        <v>43</v>
      </c>
    </row>
    <row r="20" spans="1:4" ht="30.75" customHeight="1" x14ac:dyDescent="0.2">
      <c r="A20" s="7" t="s">
        <v>40</v>
      </c>
      <c r="B20" s="9" t="s">
        <v>44</v>
      </c>
      <c r="C20" s="9" t="s">
        <v>45</v>
      </c>
      <c r="D20" s="9" t="s">
        <v>46</v>
      </c>
    </row>
    <row r="21" spans="1:4" ht="30.75" customHeight="1" x14ac:dyDescent="0.2">
      <c r="A21" s="7" t="s">
        <v>40</v>
      </c>
      <c r="B21" s="8" t="s">
        <v>47</v>
      </c>
      <c r="C21" s="8" t="s">
        <v>48</v>
      </c>
      <c r="D21" s="8" t="s">
        <v>49</v>
      </c>
    </row>
    <row r="22" spans="1:4" ht="44.25" customHeight="1" x14ac:dyDescent="0.2">
      <c r="A22" s="7" t="s">
        <v>40</v>
      </c>
      <c r="B22" s="9" t="s">
        <v>50</v>
      </c>
      <c r="C22" s="9" t="s">
        <v>51</v>
      </c>
      <c r="D22" s="9" t="s">
        <v>52</v>
      </c>
    </row>
    <row r="23" spans="1:4" ht="30.75" customHeight="1" x14ac:dyDescent="0.2">
      <c r="A23" s="7" t="s">
        <v>53</v>
      </c>
      <c r="B23" s="8" t="s">
        <v>54</v>
      </c>
      <c r="C23" s="8" t="s">
        <v>55</v>
      </c>
      <c r="D23" s="8" t="s">
        <v>56</v>
      </c>
    </row>
    <row r="24" spans="1:4" ht="30.75" customHeight="1" x14ac:dyDescent="0.2">
      <c r="A24" s="7" t="s">
        <v>53</v>
      </c>
      <c r="B24" s="9" t="s">
        <v>57</v>
      </c>
      <c r="C24" s="9" t="s">
        <v>58</v>
      </c>
      <c r="D24" s="9" t="s">
        <v>59</v>
      </c>
    </row>
    <row r="25" spans="1:4" ht="30.75" customHeight="1" x14ac:dyDescent="0.2">
      <c r="A25" s="7" t="s">
        <v>53</v>
      </c>
      <c r="B25" s="8" t="s">
        <v>60</v>
      </c>
      <c r="C25" s="8" t="s">
        <v>61</v>
      </c>
      <c r="D25" s="8" t="s">
        <v>62</v>
      </c>
    </row>
    <row r="26" spans="1:4" ht="30.75" customHeight="1" x14ac:dyDescent="0.2">
      <c r="A26" s="7" t="s">
        <v>53</v>
      </c>
      <c r="B26" s="9" t="s">
        <v>63</v>
      </c>
      <c r="C26" s="9" t="s">
        <v>64</v>
      </c>
      <c r="D26" s="9" t="s">
        <v>65</v>
      </c>
    </row>
    <row r="28" spans="1:4" ht="42" customHeight="1" x14ac:dyDescent="0.2">
      <c r="A28" s="2" t="s">
        <v>66</v>
      </c>
      <c r="B28" s="2"/>
      <c r="C28" s="2"/>
      <c r="D28" s="2"/>
    </row>
  </sheetData>
  <mergeCells count="2">
    <mergeCell ref="A2:D2"/>
    <mergeCell ref="A28:D28"/>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1"/>
  <sheetViews>
    <sheetView showGridLines="0" zoomScaleNormal="100" workbookViewId="0">
      <pane ySplit="3" topLeftCell="A4" activePane="bottomLeft" state="frozen"/>
      <selection pane="bottomLeft"/>
    </sheetView>
  </sheetViews>
  <sheetFormatPr defaultColWidth="8.7421875" defaultRowHeight="15" x14ac:dyDescent="0.2"/>
  <cols>
    <col min="1" max="1" width="25.9609375" customWidth="1"/>
    <col min="2" max="4" width="41.96875" customWidth="1"/>
    <col min="5" max="5" width="13.98828125" customWidth="1"/>
    <col min="6" max="6" width="39.953125" customWidth="1"/>
  </cols>
  <sheetData>
    <row r="1" spans="1:6" ht="20.25" x14ac:dyDescent="0.25">
      <c r="A1" s="3" t="s">
        <v>67</v>
      </c>
    </row>
    <row r="2" spans="1:6" ht="27.75" customHeight="1" x14ac:dyDescent="0.2">
      <c r="A2" s="2" t="s">
        <v>68</v>
      </c>
      <c r="B2" s="2"/>
      <c r="C2" s="2"/>
      <c r="D2" s="2"/>
      <c r="E2" s="2"/>
      <c r="F2" s="2"/>
    </row>
    <row r="4" spans="1:6" ht="19.5" customHeight="1" x14ac:dyDescent="0.2">
      <c r="A4" s="4" t="s">
        <v>69</v>
      </c>
      <c r="B4" s="5"/>
      <c r="C4" s="5"/>
      <c r="D4" s="5"/>
      <c r="E4" s="5"/>
      <c r="F4" s="5"/>
    </row>
    <row r="5" spans="1:6" ht="27.75" customHeight="1" x14ac:dyDescent="0.2">
      <c r="A5" s="6" t="s">
        <v>70</v>
      </c>
      <c r="B5" s="6" t="s">
        <v>71</v>
      </c>
      <c r="C5" s="6" t="s">
        <v>72</v>
      </c>
      <c r="D5" s="6" t="s">
        <v>73</v>
      </c>
    </row>
    <row r="6" spans="1:6" ht="44.25" customHeight="1" x14ac:dyDescent="0.2">
      <c r="A6" s="7" t="s">
        <v>74</v>
      </c>
      <c r="B6" s="8" t="s">
        <v>75</v>
      </c>
      <c r="C6" s="8" t="s">
        <v>76</v>
      </c>
      <c r="D6" s="8" t="s">
        <v>77</v>
      </c>
      <c r="E6" s="10"/>
      <c r="F6" s="10"/>
    </row>
    <row r="7" spans="1:6" ht="30.75" customHeight="1" x14ac:dyDescent="0.2">
      <c r="A7" s="7" t="s">
        <v>78</v>
      </c>
      <c r="B7" s="9" t="s">
        <v>79</v>
      </c>
      <c r="C7" s="9" t="s">
        <v>80</v>
      </c>
      <c r="D7" s="9" t="s">
        <v>81</v>
      </c>
      <c r="E7" s="10"/>
      <c r="F7" s="10"/>
    </row>
    <row r="8" spans="1:6" ht="30.75" customHeight="1" x14ac:dyDescent="0.2">
      <c r="A8" s="7" t="s">
        <v>82</v>
      </c>
      <c r="B8" s="8" t="s">
        <v>83</v>
      </c>
      <c r="C8" s="8" t="s">
        <v>84</v>
      </c>
      <c r="D8" s="8" t="s">
        <v>85</v>
      </c>
      <c r="E8" s="10"/>
      <c r="F8" s="10"/>
    </row>
    <row r="9" spans="1:6" ht="18" customHeight="1" x14ac:dyDescent="0.2">
      <c r="A9" s="7" t="s">
        <v>86</v>
      </c>
      <c r="B9" s="9" t="s">
        <v>87</v>
      </c>
      <c r="C9" s="9" t="s">
        <v>88</v>
      </c>
      <c r="D9" s="9" t="s">
        <v>87</v>
      </c>
      <c r="E9" s="10"/>
      <c r="F9" s="10"/>
    </row>
    <row r="10" spans="1:6" ht="30.75" customHeight="1" x14ac:dyDescent="0.2">
      <c r="A10" s="7" t="s">
        <v>89</v>
      </c>
      <c r="B10" s="8" t="s">
        <v>90</v>
      </c>
      <c r="C10" s="8" t="s">
        <v>91</v>
      </c>
      <c r="D10" s="8" t="s">
        <v>92</v>
      </c>
      <c r="E10" s="10"/>
      <c r="F10" s="10"/>
    </row>
    <row r="11" spans="1:6" ht="30.75" customHeight="1" x14ac:dyDescent="0.2">
      <c r="A11" s="7" t="s">
        <v>93</v>
      </c>
      <c r="B11" s="9" t="s">
        <v>94</v>
      </c>
      <c r="C11" s="9" t="s">
        <v>95</v>
      </c>
      <c r="D11" s="9" t="s">
        <v>96</v>
      </c>
      <c r="E11" s="10"/>
      <c r="F11" s="10"/>
    </row>
    <row r="12" spans="1:6" ht="30.75" customHeight="1" x14ac:dyDescent="0.2">
      <c r="A12" s="7" t="s">
        <v>97</v>
      </c>
      <c r="B12" s="8" t="s">
        <v>98</v>
      </c>
      <c r="C12" s="8" t="s">
        <v>99</v>
      </c>
      <c r="D12" s="8" t="s">
        <v>100</v>
      </c>
      <c r="E12" s="10"/>
      <c r="F12" s="10"/>
    </row>
    <row r="13" spans="1:6" ht="30.75" customHeight="1" x14ac:dyDescent="0.2">
      <c r="A13" s="7" t="s">
        <v>101</v>
      </c>
      <c r="B13" s="9" t="s">
        <v>102</v>
      </c>
      <c r="C13" s="9" t="s">
        <v>103</v>
      </c>
      <c r="D13" s="9" t="s">
        <v>104</v>
      </c>
      <c r="E13" s="10"/>
      <c r="F13" s="10"/>
    </row>
    <row r="14" spans="1:6" ht="30.75" customHeight="1" x14ac:dyDescent="0.2">
      <c r="A14" s="7" t="s">
        <v>105</v>
      </c>
      <c r="B14" s="8" t="s">
        <v>106</v>
      </c>
      <c r="C14" s="8" t="s">
        <v>107</v>
      </c>
      <c r="D14" s="8" t="s">
        <v>108</v>
      </c>
      <c r="E14" s="10"/>
      <c r="F14" s="10"/>
    </row>
    <row r="15" spans="1:6" ht="30.75" customHeight="1" x14ac:dyDescent="0.2">
      <c r="A15" s="7" t="s">
        <v>109</v>
      </c>
      <c r="B15" s="9" t="s">
        <v>110</v>
      </c>
      <c r="C15" s="9" t="s">
        <v>111</v>
      </c>
      <c r="D15" s="9" t="s">
        <v>112</v>
      </c>
      <c r="E15" s="10"/>
      <c r="F15" s="10"/>
    </row>
    <row r="17" spans="1:6" ht="19.5" customHeight="1" x14ac:dyDescent="0.2">
      <c r="A17" s="4" t="s">
        <v>113</v>
      </c>
      <c r="B17" s="5"/>
      <c r="C17" s="5"/>
      <c r="D17" s="5"/>
      <c r="E17" s="5"/>
      <c r="F17" s="5"/>
    </row>
    <row r="18" spans="1:6" ht="27.75" customHeight="1" x14ac:dyDescent="0.2">
      <c r="A18" s="6" t="s">
        <v>114</v>
      </c>
      <c r="B18" s="6" t="s">
        <v>115</v>
      </c>
      <c r="C18" s="6" t="s">
        <v>116</v>
      </c>
      <c r="D18" s="6" t="s">
        <v>117</v>
      </c>
      <c r="E18" s="11"/>
      <c r="F18" s="6" t="s">
        <v>118</v>
      </c>
    </row>
    <row r="19" spans="1:6" ht="30.75" customHeight="1" x14ac:dyDescent="0.2">
      <c r="A19" s="12" t="s">
        <v>119</v>
      </c>
      <c r="B19" s="12" t="s">
        <v>120</v>
      </c>
      <c r="C19" s="12" t="s">
        <v>121</v>
      </c>
      <c r="D19" s="13">
        <v>199.99</v>
      </c>
      <c r="F19" s="12" t="s">
        <v>122</v>
      </c>
    </row>
    <row r="20" spans="1:6" ht="30.75" customHeight="1" x14ac:dyDescent="0.2">
      <c r="A20" s="12" t="s">
        <v>123</v>
      </c>
      <c r="B20" s="12" t="s">
        <v>120</v>
      </c>
      <c r="C20" s="12" t="s">
        <v>121</v>
      </c>
      <c r="D20" s="13">
        <v>214.99</v>
      </c>
      <c r="F20" s="12" t="s">
        <v>122</v>
      </c>
    </row>
    <row r="21" spans="1:6" ht="30.75" customHeight="1" x14ac:dyDescent="0.2">
      <c r="A21" s="12" t="s">
        <v>124</v>
      </c>
      <c r="B21" s="12" t="s">
        <v>120</v>
      </c>
      <c r="C21" s="12" t="s">
        <v>121</v>
      </c>
      <c r="D21" s="13">
        <v>214.99</v>
      </c>
      <c r="F21" s="12" t="s">
        <v>122</v>
      </c>
    </row>
    <row r="22" spans="1:6" ht="30.75" customHeight="1" x14ac:dyDescent="0.2">
      <c r="A22" s="12" t="s">
        <v>125</v>
      </c>
      <c r="B22" s="12" t="s">
        <v>120</v>
      </c>
      <c r="C22" s="12" t="s">
        <v>126</v>
      </c>
      <c r="D22" s="13">
        <v>245</v>
      </c>
      <c r="F22" s="12" t="s">
        <v>127</v>
      </c>
    </row>
    <row r="23" spans="1:6" ht="30.75" customHeight="1" x14ac:dyDescent="0.2">
      <c r="A23" s="12" t="s">
        <v>128</v>
      </c>
      <c r="B23" s="12" t="s">
        <v>129</v>
      </c>
      <c r="C23" s="12" t="s">
        <v>130</v>
      </c>
      <c r="D23" s="13">
        <v>90</v>
      </c>
      <c r="F23" s="12" t="s">
        <v>131</v>
      </c>
    </row>
    <row r="24" spans="1:6" ht="30.75" customHeight="1" x14ac:dyDescent="0.2">
      <c r="A24" s="12" t="s">
        <v>132</v>
      </c>
      <c r="B24" s="12" t="s">
        <v>133</v>
      </c>
      <c r="C24" s="12" t="s">
        <v>134</v>
      </c>
      <c r="D24" s="13">
        <v>210</v>
      </c>
      <c r="F24" s="12" t="s">
        <v>135</v>
      </c>
    </row>
    <row r="25" spans="1:6" ht="30.75" customHeight="1" x14ac:dyDescent="0.2">
      <c r="A25" s="12" t="s">
        <v>136</v>
      </c>
      <c r="B25" s="12" t="s">
        <v>133</v>
      </c>
      <c r="C25" s="12" t="s">
        <v>137</v>
      </c>
      <c r="D25" s="13">
        <v>290</v>
      </c>
      <c r="F25" s="12" t="s">
        <v>138</v>
      </c>
    </row>
    <row r="26" spans="1:6" ht="30.75" customHeight="1" x14ac:dyDescent="0.2">
      <c r="A26" s="12" t="s">
        <v>139</v>
      </c>
      <c r="B26" s="12" t="s">
        <v>133</v>
      </c>
      <c r="C26" s="12" t="s">
        <v>140</v>
      </c>
      <c r="D26" s="13">
        <v>280</v>
      </c>
      <c r="F26" s="12" t="s">
        <v>138</v>
      </c>
    </row>
    <row r="28" spans="1:6" x14ac:dyDescent="0.2">
      <c r="A28" s="14" t="s">
        <v>141</v>
      </c>
      <c r="D28" s="15">
        <f>AVERAGE(D19:D22)</f>
        <v>218.74250000000001</v>
      </c>
    </row>
    <row r="29" spans="1:6" x14ac:dyDescent="0.2">
      <c r="A29" s="14" t="s">
        <v>142</v>
      </c>
      <c r="D29" s="15">
        <f>MIN(D19:D22)</f>
        <v>199.99</v>
      </c>
    </row>
    <row r="30" spans="1:6" x14ac:dyDescent="0.2">
      <c r="A30" s="14" t="s">
        <v>143</v>
      </c>
      <c r="D30" s="15">
        <f>MAX(D19:D22)</f>
        <v>245</v>
      </c>
    </row>
    <row r="31" spans="1:6" x14ac:dyDescent="0.2">
      <c r="A31" s="14" t="s">
        <v>144</v>
      </c>
      <c r="D31" s="16">
        <f>COUNT(D19:D22)</f>
        <v>4</v>
      </c>
    </row>
    <row r="32" spans="1:6" ht="42" customHeight="1" x14ac:dyDescent="0.2">
      <c r="A32" s="2" t="s">
        <v>145</v>
      </c>
      <c r="B32" s="2"/>
      <c r="C32" s="2"/>
      <c r="D32" s="2"/>
      <c r="E32" s="2"/>
      <c r="F32" s="2"/>
    </row>
    <row r="34" spans="1:6" ht="19.5" customHeight="1" x14ac:dyDescent="0.2">
      <c r="A34" s="4" t="s">
        <v>146</v>
      </c>
      <c r="B34" s="5"/>
      <c r="C34" s="5"/>
      <c r="D34" s="5"/>
      <c r="E34" s="5"/>
      <c r="F34" s="5"/>
    </row>
    <row r="35" spans="1:6" ht="27.75" customHeight="1" x14ac:dyDescent="0.2">
      <c r="A35" s="6" t="s">
        <v>36</v>
      </c>
      <c r="B35" s="6" t="s">
        <v>147</v>
      </c>
      <c r="C35" s="6" t="s">
        <v>148</v>
      </c>
      <c r="D35" s="6" t="s">
        <v>149</v>
      </c>
    </row>
    <row r="36" spans="1:6" ht="44.25" customHeight="1" x14ac:dyDescent="0.2">
      <c r="A36" s="7" t="s">
        <v>150</v>
      </c>
      <c r="B36" s="8" t="s">
        <v>151</v>
      </c>
      <c r="C36" s="8" t="s">
        <v>152</v>
      </c>
      <c r="D36" s="8" t="s">
        <v>150</v>
      </c>
    </row>
    <row r="37" spans="1:6" ht="30.75" customHeight="1" x14ac:dyDescent="0.2">
      <c r="A37" s="7" t="s">
        <v>150</v>
      </c>
      <c r="B37" s="9" t="s">
        <v>153</v>
      </c>
      <c r="C37" s="9" t="s">
        <v>154</v>
      </c>
      <c r="D37" s="9" t="s">
        <v>155</v>
      </c>
    </row>
    <row r="38" spans="1:6" ht="30.75" customHeight="1" x14ac:dyDescent="0.2">
      <c r="A38" s="7" t="s">
        <v>150</v>
      </c>
      <c r="B38" s="8" t="s">
        <v>156</v>
      </c>
      <c r="C38" s="8" t="s">
        <v>157</v>
      </c>
      <c r="D38" s="8" t="s">
        <v>150</v>
      </c>
    </row>
    <row r="39" spans="1:6" ht="30.75" customHeight="1" x14ac:dyDescent="0.2">
      <c r="A39" s="7" t="s">
        <v>158</v>
      </c>
      <c r="B39" s="9" t="s">
        <v>159</v>
      </c>
      <c r="C39" s="9" t="s">
        <v>160</v>
      </c>
      <c r="D39" s="9" t="s">
        <v>158</v>
      </c>
    </row>
    <row r="40" spans="1:6" ht="30.75" customHeight="1" x14ac:dyDescent="0.2">
      <c r="A40" s="7" t="s">
        <v>158</v>
      </c>
      <c r="B40" s="8" t="s">
        <v>161</v>
      </c>
      <c r="C40" s="8" t="s">
        <v>162</v>
      </c>
      <c r="D40" s="8" t="s">
        <v>158</v>
      </c>
    </row>
    <row r="41" spans="1:6" ht="30.75" customHeight="1" x14ac:dyDescent="0.2">
      <c r="A41" s="7" t="s">
        <v>158</v>
      </c>
      <c r="B41" s="9" t="s">
        <v>163</v>
      </c>
      <c r="C41" s="9" t="s">
        <v>164</v>
      </c>
      <c r="D41" s="9" t="s">
        <v>158</v>
      </c>
    </row>
  </sheetData>
  <mergeCells count="2">
    <mergeCell ref="A2:F2"/>
    <mergeCell ref="A32:F32"/>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7"/>
  <sheetViews>
    <sheetView showGridLines="0" zoomScaleNormal="100" workbookViewId="0">
      <pane ySplit="5" topLeftCell="A6" activePane="bottomLeft" state="frozen"/>
      <selection pane="bottomLeft"/>
    </sheetView>
  </sheetViews>
  <sheetFormatPr defaultColWidth="8.7421875" defaultRowHeight="15" x14ac:dyDescent="0.2"/>
  <cols>
    <col min="1" max="1" width="27.98046875" customWidth="1"/>
    <col min="2" max="2" width="16.0078125" customWidth="1"/>
    <col min="3" max="4" width="39.953125" customWidth="1"/>
    <col min="5" max="6" width="11.97265625" customWidth="1"/>
    <col min="7" max="7" width="23.9453125" customWidth="1"/>
  </cols>
  <sheetData>
    <row r="1" spans="1:7" ht="20.25" x14ac:dyDescent="0.25">
      <c r="A1" s="3" t="s">
        <v>165</v>
      </c>
    </row>
    <row r="2" spans="1:7" ht="27.75" customHeight="1" x14ac:dyDescent="0.2">
      <c r="A2" s="2" t="s">
        <v>166</v>
      </c>
      <c r="B2" s="2"/>
      <c r="C2" s="2"/>
      <c r="D2" s="2"/>
      <c r="E2" s="2"/>
      <c r="F2" s="2"/>
      <c r="G2" s="2"/>
    </row>
    <row r="4" spans="1:7" ht="19.5" customHeight="1" x14ac:dyDescent="0.2">
      <c r="A4" s="4" t="s">
        <v>167</v>
      </c>
      <c r="B4" s="5"/>
      <c r="C4" s="5"/>
      <c r="D4" s="5"/>
      <c r="E4" s="5"/>
      <c r="F4" s="5"/>
      <c r="G4" s="5"/>
    </row>
    <row r="5" spans="1:7" ht="27.75" customHeight="1" x14ac:dyDescent="0.2">
      <c r="A5" s="6" t="s">
        <v>168</v>
      </c>
      <c r="B5" s="6" t="s">
        <v>36</v>
      </c>
      <c r="C5" s="6" t="s">
        <v>169</v>
      </c>
      <c r="D5" s="6" t="s">
        <v>170</v>
      </c>
      <c r="E5" s="6" t="s">
        <v>171</v>
      </c>
      <c r="F5" s="6" t="s">
        <v>172</v>
      </c>
      <c r="G5" s="6" t="s">
        <v>173</v>
      </c>
    </row>
    <row r="6" spans="1:7" ht="30.75" customHeight="1" x14ac:dyDescent="0.2">
      <c r="A6" s="17" t="s">
        <v>174</v>
      </c>
      <c r="B6" s="18" t="s">
        <v>175</v>
      </c>
      <c r="C6" s="19" t="s">
        <v>176</v>
      </c>
      <c r="D6" s="19" t="s">
        <v>177</v>
      </c>
      <c r="E6" s="20" t="s">
        <v>178</v>
      </c>
      <c r="F6" s="20" t="s">
        <v>178</v>
      </c>
      <c r="G6" s="18" t="str">
        <f>IF(AND(E6="High",F6="High"),"Manage closely",IF(AND(E6="High",F6&lt;&gt;"High"),"Keep satisfied",IF(AND(E6&lt;&gt;"High",F6="High"),"Keep informed","Monitor")))</f>
        <v>Manage closely</v>
      </c>
    </row>
    <row r="7" spans="1:7" ht="30.75" customHeight="1" x14ac:dyDescent="0.2">
      <c r="A7" s="17" t="s">
        <v>179</v>
      </c>
      <c r="B7" s="21" t="s">
        <v>180</v>
      </c>
      <c r="C7" s="22" t="s">
        <v>181</v>
      </c>
      <c r="D7" s="22" t="s">
        <v>182</v>
      </c>
      <c r="E7" s="23" t="s">
        <v>178</v>
      </c>
      <c r="F7" s="23" t="s">
        <v>178</v>
      </c>
      <c r="G7" s="21" t="str">
        <f>IF(AND(E7="High",F7="High"),"Manage closely",IF(AND(E7="High",F7&lt;&gt;"High"),"Keep satisfied",IF(AND(E7&lt;&gt;"High",F7="High"),"Keep informed","Monitor")))</f>
        <v>Manage closely</v>
      </c>
    </row>
    <row r="8" spans="1:7" ht="30.75" customHeight="1" x14ac:dyDescent="0.2">
      <c r="A8" s="17" t="s">
        <v>183</v>
      </c>
      <c r="B8" s="18" t="s">
        <v>180</v>
      </c>
      <c r="C8" s="19" t="s">
        <v>184</v>
      </c>
      <c r="D8" s="19" t="s">
        <v>185</v>
      </c>
      <c r="E8" s="20" t="s">
        <v>178</v>
      </c>
      <c r="F8" s="20" t="s">
        <v>178</v>
      </c>
      <c r="G8" s="18" t="str">
        <f>IF(AND(E8="High",F8="High"),"Manage closely",IF(AND(E8="High",F8&lt;&gt;"High"),"Keep satisfied",IF(AND(E8&lt;&gt;"High",F8="High"),"Keep informed","Monitor")))</f>
        <v>Manage closely</v>
      </c>
    </row>
    <row r="9" spans="1:7" ht="30.75" customHeight="1" x14ac:dyDescent="0.2">
      <c r="A9" s="17" t="s">
        <v>186</v>
      </c>
      <c r="B9" s="21" t="s">
        <v>175</v>
      </c>
      <c r="C9" s="22" t="s">
        <v>187</v>
      </c>
      <c r="D9" s="22" t="s">
        <v>188</v>
      </c>
      <c r="E9" s="23" t="s">
        <v>178</v>
      </c>
      <c r="F9" s="23" t="s">
        <v>178</v>
      </c>
      <c r="G9" s="21" t="str">
        <f>IF(AND(E9="High",F9="High"),"Manage closely",IF(AND(E9="High",F9&lt;&gt;"High"),"Keep satisfied",IF(AND(E9&lt;&gt;"High",F9="High"),"Keep informed","Monitor")))</f>
        <v>Manage closely</v>
      </c>
    </row>
    <row r="10" spans="1:7" ht="30.75" customHeight="1" x14ac:dyDescent="0.2">
      <c r="A10" s="17" t="s">
        <v>189</v>
      </c>
      <c r="B10" s="18" t="s">
        <v>180</v>
      </c>
      <c r="C10" s="19" t="s">
        <v>190</v>
      </c>
      <c r="D10" s="19" t="s">
        <v>191</v>
      </c>
      <c r="E10" s="20" t="s">
        <v>192</v>
      </c>
      <c r="F10" s="20" t="s">
        <v>178</v>
      </c>
      <c r="G10" s="18" t="str">
        <f>IF(AND(E10="High",F10="High"),"Manage closely",IF(AND(E10="High",F10&lt;&gt;"High"),"Keep satisfied",IF(AND(E10&lt;&gt;"High",F10="High"),"Keep informed","Monitor")))</f>
        <v>Keep informed</v>
      </c>
    </row>
    <row r="11" spans="1:7" ht="30.75" customHeight="1" x14ac:dyDescent="0.2">
      <c r="A11" s="17" t="s">
        <v>193</v>
      </c>
      <c r="B11" s="21" t="s">
        <v>175</v>
      </c>
      <c r="C11" s="22" t="s">
        <v>194</v>
      </c>
      <c r="D11" s="22" t="s">
        <v>195</v>
      </c>
      <c r="E11" s="23" t="s">
        <v>192</v>
      </c>
      <c r="F11" s="23" t="s">
        <v>192</v>
      </c>
      <c r="G11" s="21" t="str">
        <f>IF(AND(E11="High",F11="High"),"Manage closely",IF(AND(E11="High",F11&lt;&gt;"High"),"Keep satisfied",IF(AND(E11&lt;&gt;"High",F11="High"),"Keep informed","Monitor")))</f>
        <v>Monitor</v>
      </c>
    </row>
    <row r="12" spans="1:7" ht="30.75" customHeight="1" x14ac:dyDescent="0.2">
      <c r="A12" s="17" t="s">
        <v>196</v>
      </c>
      <c r="B12" s="18" t="s">
        <v>175</v>
      </c>
      <c r="C12" s="19" t="s">
        <v>197</v>
      </c>
      <c r="D12" s="19" t="s">
        <v>198</v>
      </c>
      <c r="E12" s="20" t="s">
        <v>192</v>
      </c>
      <c r="F12" s="20" t="s">
        <v>192</v>
      </c>
      <c r="G12" s="18" t="str">
        <f>IF(AND(E12="High",F12="High"),"Manage closely",IF(AND(E12="High",F12&lt;&gt;"High"),"Keep satisfied",IF(AND(E12&lt;&gt;"High",F12="High"),"Keep informed","Monitor")))</f>
        <v>Monitor</v>
      </c>
    </row>
    <row r="13" spans="1:7" ht="30.75" customHeight="1" x14ac:dyDescent="0.2">
      <c r="A13" s="17" t="s">
        <v>199</v>
      </c>
      <c r="B13" s="21" t="s">
        <v>175</v>
      </c>
      <c r="C13" s="22" t="s">
        <v>200</v>
      </c>
      <c r="D13" s="22" t="s">
        <v>201</v>
      </c>
      <c r="E13" s="23" t="s">
        <v>178</v>
      </c>
      <c r="F13" s="23" t="s">
        <v>192</v>
      </c>
      <c r="G13" s="21" t="str">
        <f>IF(AND(E13="High",F13="High"),"Manage closely",IF(AND(E13="High",F13&lt;&gt;"High"),"Keep satisfied",IF(AND(E13&lt;&gt;"High",F13="High"),"Keep informed","Monitor")))</f>
        <v>Keep satisfied</v>
      </c>
    </row>
    <row r="14" spans="1:7" ht="30.75" customHeight="1" x14ac:dyDescent="0.2">
      <c r="A14" s="17" t="s">
        <v>202</v>
      </c>
      <c r="B14" s="18" t="s">
        <v>175</v>
      </c>
      <c r="C14" s="19" t="s">
        <v>203</v>
      </c>
      <c r="D14" s="19" t="s">
        <v>204</v>
      </c>
      <c r="E14" s="20" t="s">
        <v>178</v>
      </c>
      <c r="F14" s="20" t="s">
        <v>205</v>
      </c>
      <c r="G14" s="18" t="str">
        <f>IF(AND(E14="High",F14="High"),"Manage closely",IF(AND(E14="High",F14&lt;&gt;"High"),"Keep satisfied",IF(AND(E14&lt;&gt;"High",F14="High"),"Keep informed","Monitor")))</f>
        <v>Keep satisfied</v>
      </c>
    </row>
    <row r="15" spans="1:7" ht="30.75" customHeight="1" x14ac:dyDescent="0.2">
      <c r="A15" s="17" t="s">
        <v>206</v>
      </c>
      <c r="B15" s="21" t="s">
        <v>175</v>
      </c>
      <c r="C15" s="22" t="s">
        <v>207</v>
      </c>
      <c r="D15" s="22" t="s">
        <v>208</v>
      </c>
      <c r="E15" s="23" t="s">
        <v>192</v>
      </c>
      <c r="F15" s="23" t="s">
        <v>205</v>
      </c>
      <c r="G15" s="21" t="str">
        <f>IF(AND(E15="High",F15="High"),"Manage closely",IF(AND(E15="High",F15&lt;&gt;"High"),"Keep satisfied",IF(AND(E15&lt;&gt;"High",F15="High"),"Keep informed","Monitor")))</f>
        <v>Monitor</v>
      </c>
    </row>
    <row r="16" spans="1:7" ht="30.75" customHeight="1" x14ac:dyDescent="0.2">
      <c r="A16" s="17" t="s">
        <v>209</v>
      </c>
      <c r="B16" s="18" t="s">
        <v>175</v>
      </c>
      <c r="C16" s="19" t="s">
        <v>210</v>
      </c>
      <c r="D16" s="19" t="s">
        <v>211</v>
      </c>
      <c r="E16" s="20" t="s">
        <v>192</v>
      </c>
      <c r="F16" s="20" t="s">
        <v>205</v>
      </c>
      <c r="G16" s="18" t="str">
        <f>IF(AND(E16="High",F16="High"),"Manage closely",IF(AND(E16="High",F16&lt;&gt;"High"),"Keep satisfied",IF(AND(E16&lt;&gt;"High",F16="High"),"Keep informed","Monitor")))</f>
        <v>Monitor</v>
      </c>
    </row>
    <row r="17" spans="1:7" ht="30.75" customHeight="1" x14ac:dyDescent="0.2">
      <c r="A17" s="17" t="s">
        <v>212</v>
      </c>
      <c r="B17" s="21" t="s">
        <v>175</v>
      </c>
      <c r="C17" s="22" t="s">
        <v>213</v>
      </c>
      <c r="D17" s="22" t="s">
        <v>214</v>
      </c>
      <c r="E17" s="23" t="s">
        <v>192</v>
      </c>
      <c r="F17" s="23" t="s">
        <v>205</v>
      </c>
      <c r="G17" s="21" t="str">
        <f>IF(AND(E17="High",F17="High"),"Manage closely",IF(AND(E17="High",F17&lt;&gt;"High"),"Keep satisfied",IF(AND(E17&lt;&gt;"High",F17="High"),"Keep informed","Monitor")))</f>
        <v>Monitor</v>
      </c>
    </row>
    <row r="18" spans="1:7" ht="44.25" customHeight="1" x14ac:dyDescent="0.2">
      <c r="A18" s="17" t="s">
        <v>215</v>
      </c>
      <c r="B18" s="18" t="s">
        <v>175</v>
      </c>
      <c r="C18" s="19" t="s">
        <v>216</v>
      </c>
      <c r="D18" s="19" t="s">
        <v>217</v>
      </c>
      <c r="E18" s="20" t="s">
        <v>178</v>
      </c>
      <c r="F18" s="20" t="s">
        <v>205</v>
      </c>
      <c r="G18" s="18" t="str">
        <f>IF(AND(E18="High",F18="High"),"Manage closely",IF(AND(E18="High",F18&lt;&gt;"High"),"Keep satisfied",IF(AND(E18&lt;&gt;"High",F18="High"),"Keep informed","Monitor")))</f>
        <v>Keep satisfied</v>
      </c>
    </row>
    <row r="20" spans="1:7" ht="19.5" customHeight="1" x14ac:dyDescent="0.2">
      <c r="A20" s="4" t="s">
        <v>218</v>
      </c>
      <c r="B20" s="5"/>
      <c r="C20" s="5"/>
      <c r="D20" s="5"/>
      <c r="E20" s="5"/>
      <c r="F20" s="5"/>
      <c r="G20" s="5"/>
    </row>
    <row r="21" spans="1:7" x14ac:dyDescent="0.2">
      <c r="A21" s="14" t="s">
        <v>219</v>
      </c>
      <c r="B21" s="24">
        <f>COUNTIF(G6:G18,"Manage closely")</f>
        <v>4</v>
      </c>
    </row>
    <row r="22" spans="1:7" x14ac:dyDescent="0.2">
      <c r="A22" s="14" t="s">
        <v>220</v>
      </c>
      <c r="B22" s="24">
        <f>COUNTIF(G6:G18,"Keep satisfied")</f>
        <v>3</v>
      </c>
    </row>
    <row r="23" spans="1:7" x14ac:dyDescent="0.2">
      <c r="A23" s="14" t="s">
        <v>221</v>
      </c>
      <c r="B23" s="24">
        <f>COUNTIF(G6:G18,"Keep informed")</f>
        <v>1</v>
      </c>
    </row>
    <row r="24" spans="1:7" x14ac:dyDescent="0.2">
      <c r="A24" s="14" t="s">
        <v>222</v>
      </c>
      <c r="B24" s="24">
        <f>COUNTIF(G6:G18,"Monitor")</f>
        <v>5</v>
      </c>
    </row>
    <row r="25" spans="1:7" x14ac:dyDescent="0.2">
      <c r="A25" s="14" t="s">
        <v>223</v>
      </c>
      <c r="B25" s="24">
        <f>COUNTA(A6:A18)</f>
        <v>13</v>
      </c>
    </row>
    <row r="27" spans="1:7" ht="42" customHeight="1" x14ac:dyDescent="0.2">
      <c r="A27" s="2" t="s">
        <v>224</v>
      </c>
      <c r="B27" s="2"/>
      <c r="C27" s="2"/>
      <c r="D27" s="2"/>
      <c r="E27" s="2"/>
      <c r="F27" s="2"/>
      <c r="G27" s="2"/>
    </row>
  </sheetData>
  <mergeCells count="2">
    <mergeCell ref="A2:G2"/>
    <mergeCell ref="A27:G27"/>
  </mergeCells>
  <dataValidations count="1">
    <dataValidation type="list" sqref="E6:F18" xr:uid="{00000000-0002-0000-0200-000000000000}">
      <formula1>"High,Medium,Low"</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1"/>
  <sheetViews>
    <sheetView showGridLines="0" zoomScaleNormal="100" workbookViewId="0">
      <pane ySplit="5" topLeftCell="A6" activePane="bottomLeft" state="frozen"/>
      <selection pane="bottomLeft"/>
    </sheetView>
  </sheetViews>
  <sheetFormatPr defaultColWidth="8.7421875" defaultRowHeight="15" x14ac:dyDescent="0.2"/>
  <cols>
    <col min="1" max="1" width="7.93359375" customWidth="1"/>
    <col min="2" max="2" width="18.0234375" customWidth="1"/>
    <col min="3" max="3" width="36.05078125" customWidth="1"/>
    <col min="4" max="4" width="48.0234375" customWidth="1"/>
    <col min="5" max="5" width="11.97265625" customWidth="1"/>
    <col min="6" max="6" width="27.98046875" customWidth="1"/>
    <col min="7" max="7" width="36.05078125" customWidth="1"/>
  </cols>
  <sheetData>
    <row r="1" spans="1:7" ht="20.25" x14ac:dyDescent="0.25">
      <c r="A1" s="3" t="s">
        <v>225</v>
      </c>
    </row>
    <row r="2" spans="1:7" ht="27.75" customHeight="1" x14ac:dyDescent="0.2">
      <c r="A2" s="2" t="s">
        <v>226</v>
      </c>
      <c r="B2" s="2"/>
      <c r="C2" s="2"/>
      <c r="D2" s="2"/>
      <c r="E2" s="2"/>
      <c r="F2" s="2"/>
      <c r="G2" s="2"/>
    </row>
    <row r="4" spans="1:7" ht="19.5" customHeight="1" x14ac:dyDescent="0.2">
      <c r="A4" s="4" t="s">
        <v>227</v>
      </c>
      <c r="B4" s="5"/>
      <c r="C4" s="5"/>
      <c r="D4" s="5"/>
      <c r="E4" s="5"/>
      <c r="F4" s="5"/>
      <c r="G4" s="5"/>
    </row>
    <row r="5" spans="1:7" ht="27.75" customHeight="1" x14ac:dyDescent="0.2">
      <c r="A5" s="6" t="s">
        <v>228</v>
      </c>
      <c r="B5" s="6" t="s">
        <v>36</v>
      </c>
      <c r="C5" s="6" t="s">
        <v>229</v>
      </c>
      <c r="D5" s="6" t="s">
        <v>230</v>
      </c>
      <c r="E5" s="6" t="s">
        <v>231</v>
      </c>
      <c r="F5" s="6" t="s">
        <v>232</v>
      </c>
      <c r="G5" s="6" t="s">
        <v>233</v>
      </c>
    </row>
    <row r="6" spans="1:7" ht="30.75" customHeight="1" x14ac:dyDescent="0.2">
      <c r="A6" s="25" t="s">
        <v>234</v>
      </c>
      <c r="B6" s="26" t="s">
        <v>235</v>
      </c>
      <c r="C6" s="27" t="s">
        <v>236</v>
      </c>
      <c r="D6" s="27" t="s">
        <v>237</v>
      </c>
      <c r="E6" s="26" t="s">
        <v>238</v>
      </c>
      <c r="F6" s="27" t="s">
        <v>239</v>
      </c>
      <c r="G6" s="27" t="s">
        <v>240</v>
      </c>
    </row>
    <row r="7" spans="1:7" ht="30.75" customHeight="1" x14ac:dyDescent="0.2">
      <c r="A7" s="25" t="s">
        <v>241</v>
      </c>
      <c r="B7" s="28" t="s">
        <v>235</v>
      </c>
      <c r="C7" s="29" t="s">
        <v>242</v>
      </c>
      <c r="D7" s="29" t="s">
        <v>243</v>
      </c>
      <c r="E7" s="28" t="s">
        <v>238</v>
      </c>
      <c r="F7" s="29" t="s">
        <v>239</v>
      </c>
      <c r="G7" s="29" t="s">
        <v>244</v>
      </c>
    </row>
    <row r="8" spans="1:7" ht="30.75" customHeight="1" x14ac:dyDescent="0.2">
      <c r="A8" s="25" t="s">
        <v>245</v>
      </c>
      <c r="B8" s="26" t="s">
        <v>235</v>
      </c>
      <c r="C8" s="27" t="s">
        <v>246</v>
      </c>
      <c r="D8" s="27" t="s">
        <v>247</v>
      </c>
      <c r="E8" s="26" t="s">
        <v>238</v>
      </c>
      <c r="F8" s="27" t="s">
        <v>248</v>
      </c>
      <c r="G8" s="27" t="s">
        <v>249</v>
      </c>
    </row>
    <row r="9" spans="1:7" ht="30.75" customHeight="1" x14ac:dyDescent="0.2">
      <c r="A9" s="25" t="s">
        <v>250</v>
      </c>
      <c r="B9" s="28" t="s">
        <v>235</v>
      </c>
      <c r="C9" s="29" t="s">
        <v>251</v>
      </c>
      <c r="D9" s="29" t="s">
        <v>252</v>
      </c>
      <c r="E9" s="28" t="s">
        <v>238</v>
      </c>
      <c r="F9" s="29" t="s">
        <v>253</v>
      </c>
      <c r="G9" s="29" t="s">
        <v>254</v>
      </c>
    </row>
    <row r="10" spans="1:7" ht="30.75" customHeight="1" x14ac:dyDescent="0.2">
      <c r="A10" s="25" t="s">
        <v>255</v>
      </c>
      <c r="B10" s="26" t="s">
        <v>235</v>
      </c>
      <c r="C10" s="27" t="s">
        <v>256</v>
      </c>
      <c r="D10" s="27" t="s">
        <v>257</v>
      </c>
      <c r="E10" s="26" t="s">
        <v>258</v>
      </c>
      <c r="F10" s="27" t="s">
        <v>239</v>
      </c>
      <c r="G10" s="27" t="s">
        <v>259</v>
      </c>
    </row>
    <row r="11" spans="1:7" ht="18" customHeight="1" x14ac:dyDescent="0.2">
      <c r="A11" s="25" t="s">
        <v>260</v>
      </c>
      <c r="B11" s="28" t="s">
        <v>235</v>
      </c>
      <c r="C11" s="29" t="s">
        <v>261</v>
      </c>
      <c r="D11" s="29" t="s">
        <v>262</v>
      </c>
      <c r="E11" s="28" t="s">
        <v>258</v>
      </c>
      <c r="F11" s="29" t="s">
        <v>263</v>
      </c>
      <c r="G11" s="29" t="s">
        <v>264</v>
      </c>
    </row>
    <row r="12" spans="1:7" ht="30.75" customHeight="1" x14ac:dyDescent="0.2">
      <c r="A12" s="25" t="s">
        <v>265</v>
      </c>
      <c r="B12" s="26" t="s">
        <v>235</v>
      </c>
      <c r="C12" s="27" t="s">
        <v>266</v>
      </c>
      <c r="D12" s="27" t="s">
        <v>267</v>
      </c>
      <c r="E12" s="26" t="s">
        <v>238</v>
      </c>
      <c r="F12" s="27" t="s">
        <v>268</v>
      </c>
      <c r="G12" s="27" t="s">
        <v>269</v>
      </c>
    </row>
    <row r="13" spans="1:7" ht="18" customHeight="1" x14ac:dyDescent="0.2">
      <c r="A13" s="25" t="s">
        <v>270</v>
      </c>
      <c r="B13" s="28" t="s">
        <v>235</v>
      </c>
      <c r="C13" s="29" t="s">
        <v>271</v>
      </c>
      <c r="D13" s="29" t="s">
        <v>272</v>
      </c>
      <c r="E13" s="28" t="s">
        <v>273</v>
      </c>
      <c r="F13" s="29" t="s">
        <v>239</v>
      </c>
      <c r="G13" s="29" t="s">
        <v>274</v>
      </c>
    </row>
    <row r="14" spans="1:7" ht="30.75" customHeight="1" x14ac:dyDescent="0.2">
      <c r="A14" s="25" t="s">
        <v>275</v>
      </c>
      <c r="B14" s="26" t="s">
        <v>276</v>
      </c>
      <c r="C14" s="27" t="s">
        <v>277</v>
      </c>
      <c r="D14" s="27" t="s">
        <v>278</v>
      </c>
      <c r="E14" s="26" t="s">
        <v>238</v>
      </c>
      <c r="F14" s="27" t="s">
        <v>239</v>
      </c>
      <c r="G14" s="27" t="s">
        <v>279</v>
      </c>
    </row>
    <row r="15" spans="1:7" ht="30.75" customHeight="1" x14ac:dyDescent="0.2">
      <c r="A15" s="25" t="s">
        <v>280</v>
      </c>
      <c r="B15" s="28" t="s">
        <v>276</v>
      </c>
      <c r="C15" s="29" t="s">
        <v>281</v>
      </c>
      <c r="D15" s="29" t="s">
        <v>282</v>
      </c>
      <c r="E15" s="28" t="s">
        <v>238</v>
      </c>
      <c r="F15" s="29" t="s">
        <v>283</v>
      </c>
      <c r="G15" s="29" t="s">
        <v>284</v>
      </c>
    </row>
    <row r="16" spans="1:7" ht="30.75" customHeight="1" x14ac:dyDescent="0.2">
      <c r="A16" s="25" t="s">
        <v>285</v>
      </c>
      <c r="B16" s="26" t="s">
        <v>276</v>
      </c>
      <c r="C16" s="27" t="s">
        <v>286</v>
      </c>
      <c r="D16" s="27" t="s">
        <v>287</v>
      </c>
      <c r="E16" s="26" t="s">
        <v>258</v>
      </c>
      <c r="F16" s="27" t="s">
        <v>239</v>
      </c>
      <c r="G16" s="27" t="s">
        <v>288</v>
      </c>
    </row>
    <row r="17" spans="1:7" ht="18" customHeight="1" x14ac:dyDescent="0.2">
      <c r="A17" s="25" t="s">
        <v>289</v>
      </c>
      <c r="B17" s="28" t="s">
        <v>276</v>
      </c>
      <c r="C17" s="29" t="s">
        <v>290</v>
      </c>
      <c r="D17" s="29" t="s">
        <v>291</v>
      </c>
      <c r="E17" s="28" t="s">
        <v>238</v>
      </c>
      <c r="F17" s="29" t="s">
        <v>292</v>
      </c>
      <c r="G17" s="29" t="s">
        <v>293</v>
      </c>
    </row>
    <row r="18" spans="1:7" ht="30.75" customHeight="1" x14ac:dyDescent="0.2">
      <c r="A18" s="25" t="s">
        <v>294</v>
      </c>
      <c r="B18" s="26" t="s">
        <v>276</v>
      </c>
      <c r="C18" s="27" t="s">
        <v>295</v>
      </c>
      <c r="D18" s="27" t="s">
        <v>296</v>
      </c>
      <c r="E18" s="26" t="s">
        <v>258</v>
      </c>
      <c r="F18" s="27" t="s">
        <v>239</v>
      </c>
      <c r="G18" s="27" t="s">
        <v>297</v>
      </c>
    </row>
    <row r="19" spans="1:7" ht="44.25" customHeight="1" x14ac:dyDescent="0.2">
      <c r="A19" s="25" t="s">
        <v>298</v>
      </c>
      <c r="B19" s="28" t="s">
        <v>276</v>
      </c>
      <c r="C19" s="29" t="s">
        <v>299</v>
      </c>
      <c r="D19" s="29" t="s">
        <v>300</v>
      </c>
      <c r="E19" s="28" t="s">
        <v>238</v>
      </c>
      <c r="F19" s="29" t="s">
        <v>301</v>
      </c>
      <c r="G19" s="29" t="s">
        <v>302</v>
      </c>
    </row>
    <row r="20" spans="1:7" ht="30.75" customHeight="1" x14ac:dyDescent="0.2">
      <c r="A20" s="25" t="s">
        <v>303</v>
      </c>
      <c r="B20" s="26" t="s">
        <v>276</v>
      </c>
      <c r="C20" s="27" t="s">
        <v>304</v>
      </c>
      <c r="D20" s="27" t="s">
        <v>305</v>
      </c>
      <c r="E20" s="26" t="s">
        <v>238</v>
      </c>
      <c r="F20" s="27" t="s">
        <v>306</v>
      </c>
      <c r="G20" s="27" t="s">
        <v>307</v>
      </c>
    </row>
    <row r="21" spans="1:7" ht="30.75" customHeight="1" x14ac:dyDescent="0.2">
      <c r="A21" s="25" t="s">
        <v>308</v>
      </c>
      <c r="B21" s="28" t="s">
        <v>276</v>
      </c>
      <c r="C21" s="29" t="s">
        <v>309</v>
      </c>
      <c r="D21" s="29" t="s">
        <v>310</v>
      </c>
      <c r="E21" s="28" t="s">
        <v>238</v>
      </c>
      <c r="F21" s="29" t="s">
        <v>311</v>
      </c>
      <c r="G21" s="29" t="s">
        <v>312</v>
      </c>
    </row>
    <row r="23" spans="1:7" ht="19.5" customHeight="1" x14ac:dyDescent="0.2">
      <c r="A23" s="4" t="s">
        <v>218</v>
      </c>
      <c r="B23" s="5"/>
      <c r="C23" s="5"/>
      <c r="D23" s="5"/>
      <c r="E23" s="5"/>
      <c r="F23" s="5"/>
      <c r="G23" s="5"/>
    </row>
    <row r="24" spans="1:7" x14ac:dyDescent="0.2">
      <c r="A24" s="1" t="s">
        <v>313</v>
      </c>
      <c r="B24" s="1"/>
      <c r="C24" s="1"/>
      <c r="D24" s="30">
        <f>COUNTIF(B6:B21,"Functional")</f>
        <v>8</v>
      </c>
    </row>
    <row r="25" spans="1:7" x14ac:dyDescent="0.2">
      <c r="A25" s="1" t="s">
        <v>314</v>
      </c>
      <c r="B25" s="1"/>
      <c r="C25" s="1"/>
      <c r="D25" s="30">
        <f>COUNTIF(B6:B21,"Non-functional")</f>
        <v>8</v>
      </c>
    </row>
    <row r="26" spans="1:7" x14ac:dyDescent="0.2">
      <c r="A26" s="1" t="s">
        <v>315</v>
      </c>
      <c r="B26" s="1"/>
      <c r="C26" s="1"/>
      <c r="D26" s="30">
        <f>COUNTIF(E6:E21,"Must")</f>
        <v>11</v>
      </c>
    </row>
    <row r="27" spans="1:7" x14ac:dyDescent="0.2">
      <c r="A27" s="1" t="s">
        <v>316</v>
      </c>
      <c r="B27" s="1"/>
      <c r="C27" s="1"/>
      <c r="D27" s="30">
        <f>COUNTIF(E6:E21,"Should")</f>
        <v>4</v>
      </c>
    </row>
    <row r="28" spans="1:7" x14ac:dyDescent="0.2">
      <c r="A28" s="1" t="s">
        <v>317</v>
      </c>
      <c r="B28" s="1"/>
      <c r="C28" s="1"/>
      <c r="D28" s="30">
        <f>COUNTIF(E6:E21,"Could")</f>
        <v>1</v>
      </c>
    </row>
    <row r="29" spans="1:7" x14ac:dyDescent="0.2">
      <c r="A29" s="1" t="s">
        <v>318</v>
      </c>
      <c r="B29" s="1"/>
      <c r="C29" s="1"/>
      <c r="D29" s="30">
        <f>COUNTA(A6:A21)</f>
        <v>16</v>
      </c>
    </row>
    <row r="31" spans="1:7" ht="42" customHeight="1" x14ac:dyDescent="0.2">
      <c r="A31" s="2" t="s">
        <v>319</v>
      </c>
      <c r="B31" s="2"/>
      <c r="C31" s="2"/>
      <c r="D31" s="2"/>
      <c r="E31" s="2"/>
      <c r="F31" s="2"/>
      <c r="G31" s="2"/>
    </row>
  </sheetData>
  <mergeCells count="8">
    <mergeCell ref="A28:C28"/>
    <mergeCell ref="A29:C29"/>
    <mergeCell ref="A31:G31"/>
    <mergeCell ref="A2:G2"/>
    <mergeCell ref="A24:C24"/>
    <mergeCell ref="A25:C25"/>
    <mergeCell ref="A26:C26"/>
    <mergeCell ref="A27:C27"/>
  </mergeCells>
  <dataValidations count="1">
    <dataValidation type="list" sqref="E6:E21" xr:uid="{00000000-0002-0000-0300-000000000000}">
      <formula1>"Must,Should,Could"</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Worksheets</vt:lpstr>
      </vt:variant>
      <vt:variant>
        <vt:i4>4</vt:i4>
      </vt:variant>
    </vt:vector>
  </HeadingPairs>
  <TitlesOfParts>
    <vt:vector size="4" baseType="lpstr">
      <vt:lpstr>Customer Analysis</vt:lpstr>
      <vt:lpstr>Competitor Analysis</vt:lpstr>
      <vt:lpstr>Stakeholder Analysis</vt: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2026-10-24T21:48:37Z</dcterms:created>
  <dcterms:modified xsi:type="dcterms:W3CDTF">2026-10-24T21:48:37Z</dcterms:modified>
  <dc:language>en-US</dc:language>
</cp:coreProperties>
</file>